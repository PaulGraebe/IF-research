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aeffler-my.sharepoint.com/personal/sg778401_user_schaeffler_com/Documents/Studium TH/PFS/Dashboards/"/>
    </mc:Choice>
  </mc:AlternateContent>
  <xr:revisionPtr revIDLastSave="64" documentId="8_{C2EFA8C5-3D00-47C9-83AF-B17D778B6382}" xr6:coauthVersionLast="47" xr6:coauthVersionMax="47" xr10:uidLastSave="{AFF2DC06-C601-48AE-BA33-2FB5AEAC9F4D}"/>
  <bookViews>
    <workbookView xWindow="-57720" yWindow="-1860" windowWidth="29040" windowHeight="17520" activeTab="1" xr2:uid="{C904B46D-071E-4D11-90DC-1C4DA6909F0B}"/>
  </bookViews>
  <sheets>
    <sheet name="Dashboard" sheetId="1" r:id="rId1"/>
    <sheet name="Vergleichstabel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<sst xmlns="http://schemas.openxmlformats.org/spreadsheetml/2006/main" count="148" uniqueCount="40">
  <si>
    <t>Dashboard - erkannte Anomalien Tag 30 vs. Tag 31</t>
  </si>
  <si>
    <t>Zeile</t>
  </si>
  <si>
    <t>Score</t>
  </si>
  <si>
    <t>Wert (Delta Net-Sales)</t>
  </si>
  <si>
    <t>Kritikalität</t>
  </si>
  <si>
    <t>Bewertung</t>
  </si>
  <si>
    <t>Sehr kritisch</t>
  </si>
  <si>
    <t>Die Veränderung ist sehr kritisch und sollte priorisiert analysiert werden.</t>
  </si>
  <si>
    <t>Kritisch</t>
  </si>
  <si>
    <t>Die Veränderung ist kritisch und sollte fachlich geprüft werden.</t>
  </si>
  <si>
    <t>Zu beobachten</t>
  </si>
  <si>
    <t>Die Veränderung liegt oberhalb des normalen Schwankungsbereichs und sollte beobachtet werden.</t>
  </si>
  <si>
    <t>S</t>
  </si>
  <si>
    <t>Vergleich</t>
  </si>
  <si>
    <t>Trainingsbasis</t>
  </si>
  <si>
    <t>Zeilenanzahl geprüft</t>
  </si>
  <si>
    <t>Kennzahlen</t>
  </si>
  <si>
    <t>Winsorierung</t>
  </si>
  <si>
    <t>Skalierung</t>
  </si>
  <si>
    <t>Basismodell</t>
  </si>
  <si>
    <t>SiLIF aktiviert</t>
  </si>
  <si>
    <t>Alpha</t>
  </si>
  <si>
    <t>Score-Regel</t>
  </si>
  <si>
    <t>Fingerprint</t>
  </si>
  <si>
    <t>Clustering</t>
  </si>
  <si>
    <t>Silhouette</t>
  </si>
  <si>
    <t>Schwellenwerte (Training)</t>
  </si>
  <si>
    <t>Day 30 zu Day 31</t>
  </si>
  <si>
    <t>Beispiel: Historische Tagesbaweichungen Day_1 zu Day_2 bis Day 29 zu Day 30</t>
  </si>
  <si>
    <t>Referenzspalten geprüft</t>
  </si>
  <si>
    <t>Beispiel: Invoices Value, Other Revenue, Net Sales</t>
  </si>
  <si>
    <t>Beispiel: Relative Deltas auf 1%-99% des Trainings beschnitten</t>
  </si>
  <si>
    <t>Beispiel: RobustScaler</t>
  </si>
  <si>
    <t>Beispiel: IsolationForest (n_estimators=300, contamination=0.03)</t>
  </si>
  <si>
    <t>Beispiel: Ja</t>
  </si>
  <si>
    <t>Beispiel: Final_Score = Base_IF_Score + alpha * (1 - Silhouette Score)</t>
  </si>
  <si>
    <t>Beispiel: Pfadlängen-Vektor über alle Bäume</t>
  </si>
  <si>
    <t>Beispiel: Kmeans, K=18</t>
  </si>
  <si>
    <t>Beispiel: Beobachten ab 0.998 | Kritisch ab 1.037 | Sehr kritisch ab 1.088</t>
  </si>
  <si>
    <t>Beispiel: Zentroid-Distanz-Approximination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</si>
</sst>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3"/>
      <color theme="0"/>
      <name val="Noto Sans Black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5B7A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ont="1" applyFill="1"/>
    <xf numFmtId="0" fontId="2" fillId="3" borderId="1" xfId="0" applyFont="1" applyFill="1" applyBorder="1"/>
    <xf numFmtId="0" fontId="0" fillId="0" borderId="1" xfId="0" applyBorder="1"/>
  </cellXfs>
  <cellStyles count="1">
    <cellStyle name="Standard" xfId="0" builtinId="0"/>
  </cellStyles>
  <dxfs count="9">
    <dxf>
      <font>
        <b/>
      </font>
      <fill>
        <patternFill>
          <bgColor rgb="FFE79278"/>
        </patternFill>
      </fill>
    </dxf>
    <dxf>
      <font>
        <b/>
      </font>
      <fill>
        <patternFill>
          <bgColor rgb="FFF6D890"/>
        </patternFill>
      </fill>
    </dxf>
    <dxf>
      <font>
        <b/>
      </font>
      <fill>
        <patternFill>
          <bgColor rgb="FFC9DEA5"/>
        </patternFill>
      </fill>
    </dxf>
    <dxf>
      <fill>
        <patternFill>
          <bgColor rgb="FFE79278"/>
        </patternFill>
      </fill>
    </dxf>
    <dxf>
      <fill>
        <patternFill>
          <bgColor rgb="FFF6D890"/>
        </patternFill>
      </fill>
    </dxf>
    <dxf>
      <fill>
        <patternFill>
          <bgColor rgb="FFC9DEA5"/>
        </patternFill>
      </fill>
    </dxf>
    <dxf>
      <font>
        <b val="0"/>
      </font>
      <fill>
        <patternFill patternType="solid">
          <fgColor indexed="64"/>
          <bgColor rgb="FF95B7AB"/>
        </patternFill>
      </fill>
    </dxf>
    <dxf>
      <border outline="0">
        <left style="thin">
          <color auto="1"/>
        </left>
      </border>
    </dxf>
    <dxf>
      <fill>
        <patternFill patternType="solid">
          <fgColor indexed="64"/>
          <bgColor theme="8" tint="0.59999389629810485"/>
        </patternFill>
      </fill>
    </dxf>
  </dxfs>
  <tableStyles count="0" defaultTableStyle="TableStyleMedium2" defaultPivotStyle="PivotStyleLight16"/>
  <colors>
    <mruColors>
      <color rgb="FF95B7AB"/>
      <color rgb="FFC9DAD4"/>
      <color rgb="FF619685"/>
      <color rgb="FF8BA6AB"/>
      <color rgb="FF476E75"/>
      <color rgb="FF8CBFD3"/>
      <color rgb="FF1C98B5"/>
      <color rgb="FF497164"/>
      <color rgb="FF005E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B2AED0-6E59-407B-B97D-BE8373A7D57F}" name="Table1" displayName="Table1" ref="A2:E59" totalsRowShown="0" headerRowDxfId="6">
  <autoFilter ref="A2:E59" xr:uid="{4CB2AED0-6E59-407B-B97D-BE8373A7D57F}"/>
  <tableColumns count="5">
    <tableColumn id="1" xr3:uid="{AC7F43E3-C24D-4D0B-8B85-0D2D90F603D5}" name="Zeile" dataDxfId="8"/>
    <tableColumn id="2" xr3:uid="{4475EF5B-3B2A-4E6F-970F-12A253F25231}" name="Score" dataDxfId="7"/>
    <tableColumn id="3" xr3:uid="{13482C23-592B-4A49-A5F5-D2DECC9574F4}" name="Wert (Delta Net-Sales)"/>
    <tableColumn id="4" xr3:uid="{343F119A-0098-403B-A10E-DB5E19B04995}" name="Kritikalität"/>
    <tableColumn id="5" xr3:uid="{7A292B2D-8BA1-47A9-84E7-B0A76D39F0DC}" name="Bewert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52B2-050D-4583-97D0-DF5D11263869}">
  <dimension ref="A1:G59"/>
  <sheetViews>
    <sheetView zoomScale="115" zoomScaleNormal="115" workbookViewId="0">
      <selection activeCell="G18" sqref="G17:G18"/>
    </sheetView>
  </sheetViews>
  <sheetFormatPr baseColWidth="10" defaultRowHeight="14.4" x14ac:dyDescent="0.3"/>
  <cols>
    <col min="3" max="3" width="15.44140625" customWidth="1"/>
    <col min="4" max="4" width="19" customWidth="1"/>
    <col min="5" max="5" width="86.88671875" customWidth="1"/>
  </cols>
  <sheetData>
    <row r="1" spans="1:5" ht="40.200000000000003" customHeight="1" x14ac:dyDescent="0.3">
      <c r="A1" s="6" t="s">
        <v>0</v>
      </c>
      <c r="B1" s="6"/>
      <c r="C1" s="6"/>
      <c r="D1" s="6"/>
      <c r="E1" s="6"/>
    </row>
    <row r="2" spans="1:5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 spans="1:5" x14ac:dyDescent="0.3">
      <c r="A3" s="5">
        <v>142</v>
      </c>
      <c r="B3" s="1">
        <v>1</v>
      </c>
      <c r="C3" s="2">
        <v>-472107.17</v>
      </c>
      <c r="D3" s="3" t="s">
        <v>6</v>
      </c>
      <c r="E3" s="4" t="s">
        <v>7</v>
      </c>
    </row>
    <row r="4" spans="1:5" x14ac:dyDescent="0.3">
      <c r="A4" s="5">
        <v>113</v>
      </c>
      <c r="B4" s="1">
        <v>0.89674480124558409</v>
      </c>
      <c r="C4" s="2">
        <v>-16264.260000000009</v>
      </c>
      <c r="D4" s="3" t="s">
        <v>6</v>
      </c>
      <c r="E4" s="4" t="s">
        <v>7</v>
      </c>
    </row>
    <row r="5" spans="1:5" x14ac:dyDescent="0.3">
      <c r="A5" s="5">
        <v>228</v>
      </c>
      <c r="B5" s="1">
        <v>0.89524853765428047</v>
      </c>
      <c r="C5" s="2">
        <v>-377719.41</v>
      </c>
      <c r="D5" s="3" t="s">
        <v>6</v>
      </c>
      <c r="E5" s="4" t="s">
        <v>7</v>
      </c>
    </row>
    <row r="6" spans="1:5" x14ac:dyDescent="0.3">
      <c r="A6" s="5">
        <v>392</v>
      </c>
      <c r="B6" s="1">
        <v>0.8857046643657821</v>
      </c>
      <c r="C6" s="2">
        <v>-1190553.18</v>
      </c>
      <c r="D6" s="3" t="s">
        <v>6</v>
      </c>
      <c r="E6" s="4" t="s">
        <v>7</v>
      </c>
    </row>
    <row r="7" spans="1:5" x14ac:dyDescent="0.3">
      <c r="A7" s="5">
        <v>371</v>
      </c>
      <c r="B7" s="1">
        <v>0.82688938020554015</v>
      </c>
      <c r="C7" s="2">
        <v>421573.43</v>
      </c>
      <c r="D7" s="3" t="s">
        <v>8</v>
      </c>
      <c r="E7" s="4" t="s">
        <v>9</v>
      </c>
    </row>
    <row r="8" spans="1:5" x14ac:dyDescent="0.3">
      <c r="A8" s="5">
        <v>51</v>
      </c>
      <c r="B8" s="1">
        <v>0.82508626413106778</v>
      </c>
      <c r="C8" s="2">
        <v>-357267.6</v>
      </c>
      <c r="D8" s="3" t="s">
        <v>8</v>
      </c>
      <c r="E8" s="4" t="s">
        <v>9</v>
      </c>
    </row>
    <row r="9" spans="1:5" x14ac:dyDescent="0.3">
      <c r="A9" s="5">
        <v>430</v>
      </c>
      <c r="B9" s="1">
        <v>0.82261750221601759</v>
      </c>
      <c r="C9" s="2">
        <v>386903.81</v>
      </c>
      <c r="D9" s="3" t="s">
        <v>8</v>
      </c>
      <c r="E9" s="4" t="s">
        <v>9</v>
      </c>
    </row>
    <row r="10" spans="1:5" x14ac:dyDescent="0.3">
      <c r="A10" s="5">
        <v>156</v>
      </c>
      <c r="B10" s="1">
        <v>0.81741395008046902</v>
      </c>
      <c r="C10" s="2">
        <v>409248.66</v>
      </c>
      <c r="D10" s="3" t="s">
        <v>8</v>
      </c>
      <c r="E10" s="4" t="s">
        <v>9</v>
      </c>
    </row>
    <row r="11" spans="1:5" x14ac:dyDescent="0.3">
      <c r="A11" s="5">
        <v>209</v>
      </c>
      <c r="B11" s="1">
        <v>0.81741395008046902</v>
      </c>
      <c r="C11" s="2">
        <v>577893.05000000005</v>
      </c>
      <c r="D11" s="3" t="s">
        <v>8</v>
      </c>
      <c r="E11" s="4" t="s">
        <v>9</v>
      </c>
    </row>
    <row r="12" spans="1:5" x14ac:dyDescent="0.3">
      <c r="A12" s="5">
        <v>559</v>
      </c>
      <c r="B12" s="1">
        <v>0.81646992831862331</v>
      </c>
      <c r="C12" s="2">
        <v>369807.94</v>
      </c>
      <c r="D12" s="3" t="s">
        <v>8</v>
      </c>
      <c r="E12" s="4" t="s">
        <v>9</v>
      </c>
    </row>
    <row r="13" spans="1:5" x14ac:dyDescent="0.3">
      <c r="A13" s="5">
        <v>293</v>
      </c>
      <c r="B13" s="1">
        <v>0.80528707884921003</v>
      </c>
      <c r="C13" s="2">
        <v>-1789613.69</v>
      </c>
      <c r="D13" s="3" t="s">
        <v>8</v>
      </c>
      <c r="E13" s="4" t="s">
        <v>9</v>
      </c>
    </row>
    <row r="14" spans="1:5" x14ac:dyDescent="0.3">
      <c r="A14" s="5">
        <v>598</v>
      </c>
      <c r="B14" s="1">
        <v>0.80388358673907945</v>
      </c>
      <c r="C14" s="2">
        <v>-414707.21</v>
      </c>
      <c r="D14" s="3" t="s">
        <v>8</v>
      </c>
      <c r="E14" s="4" t="s">
        <v>9</v>
      </c>
    </row>
    <row r="15" spans="1:5" x14ac:dyDescent="0.3">
      <c r="A15" s="5">
        <v>303</v>
      </c>
      <c r="B15" s="1">
        <v>0.80248151828174086</v>
      </c>
      <c r="C15" s="2">
        <v>-381277.71</v>
      </c>
      <c r="D15" s="3" t="s">
        <v>8</v>
      </c>
      <c r="E15" s="4" t="s">
        <v>9</v>
      </c>
    </row>
    <row r="16" spans="1:5" x14ac:dyDescent="0.3">
      <c r="A16" s="5">
        <v>590</v>
      </c>
      <c r="B16" s="1">
        <v>0.78244662782182506</v>
      </c>
      <c r="C16" s="2">
        <v>675105.98</v>
      </c>
      <c r="D16" s="3" t="s">
        <v>8</v>
      </c>
      <c r="E16" s="4" t="s">
        <v>9</v>
      </c>
    </row>
    <row r="17" spans="1:7" x14ac:dyDescent="0.3">
      <c r="A17" s="5">
        <v>23</v>
      </c>
      <c r="B17" s="1">
        <v>0.77899900468905592</v>
      </c>
      <c r="C17" s="2">
        <v>-375568.23</v>
      </c>
      <c r="D17" s="3" t="s">
        <v>8</v>
      </c>
      <c r="E17" s="4" t="s">
        <v>9</v>
      </c>
    </row>
    <row r="18" spans="1:7" x14ac:dyDescent="0.3">
      <c r="A18" s="5">
        <v>580</v>
      </c>
      <c r="B18" s="1">
        <v>0.76483895632230181</v>
      </c>
      <c r="C18" s="2">
        <v>-110640.47</v>
      </c>
      <c r="D18" s="3" t="s">
        <v>8</v>
      </c>
      <c r="E18" s="4" t="s">
        <v>9</v>
      </c>
    </row>
    <row r="19" spans="1:7" x14ac:dyDescent="0.3">
      <c r="A19" s="5">
        <v>688</v>
      </c>
      <c r="B19" s="1">
        <v>0.75879699091609687</v>
      </c>
      <c r="C19" s="2">
        <v>-339048.14</v>
      </c>
      <c r="D19" s="3" t="s">
        <v>8</v>
      </c>
      <c r="E19" s="4" t="s">
        <v>9</v>
      </c>
    </row>
    <row r="20" spans="1:7" x14ac:dyDescent="0.3">
      <c r="A20" s="5">
        <v>679</v>
      </c>
      <c r="B20" s="1">
        <v>0.7514231897899184</v>
      </c>
      <c r="C20" s="2">
        <v>61057.18</v>
      </c>
      <c r="D20" s="3" t="s">
        <v>8</v>
      </c>
      <c r="E20" s="4" t="s">
        <v>9</v>
      </c>
    </row>
    <row r="21" spans="1:7" x14ac:dyDescent="0.3">
      <c r="A21" s="5">
        <v>577</v>
      </c>
      <c r="B21" s="1">
        <v>0.7475361548146493</v>
      </c>
      <c r="C21" s="2">
        <v>-1405558.86</v>
      </c>
      <c r="D21" s="3" t="s">
        <v>8</v>
      </c>
      <c r="E21" s="4" t="s">
        <v>9</v>
      </c>
    </row>
    <row r="22" spans="1:7" x14ac:dyDescent="0.3">
      <c r="A22" s="5">
        <v>659</v>
      </c>
      <c r="B22" s="1">
        <v>0.74216468820997306</v>
      </c>
      <c r="C22" s="2">
        <v>-277761.87</v>
      </c>
      <c r="D22" s="3" t="s">
        <v>8</v>
      </c>
      <c r="E22" s="4" t="s">
        <v>9</v>
      </c>
    </row>
    <row r="23" spans="1:7" x14ac:dyDescent="0.3">
      <c r="A23" s="5">
        <v>60</v>
      </c>
      <c r="B23" s="1">
        <v>0.73859580556994153</v>
      </c>
      <c r="C23" s="2">
        <v>-883146.85</v>
      </c>
      <c r="D23" s="3" t="s">
        <v>8</v>
      </c>
      <c r="E23" s="4" t="s">
        <v>9</v>
      </c>
    </row>
    <row r="24" spans="1:7" x14ac:dyDescent="0.3">
      <c r="A24" s="5">
        <v>229</v>
      </c>
      <c r="B24" s="1">
        <v>0.73815037397941652</v>
      </c>
      <c r="C24" s="2">
        <v>-178519.1</v>
      </c>
      <c r="D24" s="3" t="s">
        <v>8</v>
      </c>
      <c r="E24" s="4" t="s">
        <v>9</v>
      </c>
    </row>
    <row r="25" spans="1:7" x14ac:dyDescent="0.3">
      <c r="A25" s="5">
        <v>506</v>
      </c>
      <c r="B25" s="1">
        <v>0.72715648748046779</v>
      </c>
      <c r="C25" s="2">
        <v>193872.51</v>
      </c>
      <c r="D25" s="3" t="s">
        <v>8</v>
      </c>
      <c r="E25" s="4" t="s">
        <v>9</v>
      </c>
    </row>
    <row r="26" spans="1:7" x14ac:dyDescent="0.3">
      <c r="A26" s="5">
        <v>261</v>
      </c>
      <c r="B26" s="1">
        <v>0.71818381529591613</v>
      </c>
      <c r="C26" s="2">
        <v>-186718.93</v>
      </c>
      <c r="D26" s="3" t="s">
        <v>8</v>
      </c>
      <c r="E26" s="4" t="s">
        <v>9</v>
      </c>
    </row>
    <row r="27" spans="1:7" x14ac:dyDescent="0.3">
      <c r="A27" s="5">
        <v>2</v>
      </c>
      <c r="B27" s="1">
        <v>0.71424240311581921</v>
      </c>
      <c r="C27" s="2">
        <v>-322109.40999999997</v>
      </c>
      <c r="D27" s="3" t="s">
        <v>8</v>
      </c>
      <c r="E27" s="4" t="s">
        <v>9</v>
      </c>
    </row>
    <row r="28" spans="1:7" x14ac:dyDescent="0.3">
      <c r="A28" s="5">
        <v>657</v>
      </c>
      <c r="B28" s="1">
        <v>0.71424240311581921</v>
      </c>
      <c r="C28" s="2">
        <v>-645238.62</v>
      </c>
      <c r="D28" s="3" t="s">
        <v>8</v>
      </c>
      <c r="E28" s="4" t="s">
        <v>9</v>
      </c>
    </row>
    <row r="29" spans="1:7" x14ac:dyDescent="0.3">
      <c r="A29" s="5">
        <v>496</v>
      </c>
      <c r="B29" s="1">
        <v>0.71205790939189939</v>
      </c>
      <c r="C29" s="2">
        <v>-311939.28999999998</v>
      </c>
      <c r="D29" s="3" t="s">
        <v>8</v>
      </c>
      <c r="E29" s="4" t="s">
        <v>9</v>
      </c>
    </row>
    <row r="30" spans="1:7" x14ac:dyDescent="0.3">
      <c r="A30" s="5">
        <v>283</v>
      </c>
      <c r="B30" s="1">
        <v>0.7115309548169807</v>
      </c>
      <c r="C30" s="2">
        <v>-705318.36</v>
      </c>
      <c r="D30" s="3" t="s">
        <v>8</v>
      </c>
      <c r="E30" s="4" t="s">
        <v>9</v>
      </c>
    </row>
    <row r="31" spans="1:7" x14ac:dyDescent="0.3">
      <c r="A31" s="5">
        <v>36</v>
      </c>
      <c r="B31" s="1">
        <v>0.71022256560540908</v>
      </c>
      <c r="C31" s="2">
        <v>-189309.84</v>
      </c>
      <c r="D31" s="3" t="s">
        <v>8</v>
      </c>
      <c r="E31" s="4" t="s">
        <v>9</v>
      </c>
      <c r="G31" t="s">
        <v>12</v>
      </c>
    </row>
    <row r="32" spans="1:7" x14ac:dyDescent="0.3">
      <c r="A32" s="5">
        <v>505</v>
      </c>
      <c r="B32" s="1">
        <v>0.70848011093201413</v>
      </c>
      <c r="C32" s="2">
        <v>-432166.79</v>
      </c>
      <c r="D32" s="3" t="s">
        <v>8</v>
      </c>
      <c r="E32" s="4" t="s">
        <v>9</v>
      </c>
    </row>
    <row r="33" spans="1:5" x14ac:dyDescent="0.3">
      <c r="A33" s="5">
        <v>316</v>
      </c>
      <c r="B33" s="1">
        <v>0.70006077912214359</v>
      </c>
      <c r="C33" s="2">
        <v>341843.43000000011</v>
      </c>
      <c r="D33" s="3" t="s">
        <v>8</v>
      </c>
      <c r="E33" s="4" t="s">
        <v>9</v>
      </c>
    </row>
    <row r="34" spans="1:5" x14ac:dyDescent="0.3">
      <c r="A34" s="5">
        <v>522</v>
      </c>
      <c r="B34" s="1">
        <v>0.69691765838863085</v>
      </c>
      <c r="C34" s="2">
        <v>-411072.04</v>
      </c>
      <c r="D34" s="3" t="s">
        <v>10</v>
      </c>
      <c r="E34" s="4" t="s">
        <v>11</v>
      </c>
    </row>
    <row r="35" spans="1:5" x14ac:dyDescent="0.3">
      <c r="A35" s="5">
        <v>625</v>
      </c>
      <c r="B35" s="1">
        <v>0.69322374896947903</v>
      </c>
      <c r="C35" s="2">
        <v>332675.05</v>
      </c>
      <c r="D35" s="3" t="s">
        <v>10</v>
      </c>
      <c r="E35" s="4" t="s">
        <v>11</v>
      </c>
    </row>
    <row r="36" spans="1:5" x14ac:dyDescent="0.3">
      <c r="A36" s="5">
        <v>516</v>
      </c>
      <c r="B36" s="1">
        <v>0.69018643336915464</v>
      </c>
      <c r="C36" s="2">
        <v>-372820.11</v>
      </c>
      <c r="D36" s="3" t="s">
        <v>10</v>
      </c>
      <c r="E36" s="4" t="s">
        <v>11</v>
      </c>
    </row>
    <row r="37" spans="1:5" x14ac:dyDescent="0.3">
      <c r="A37" s="5">
        <v>486</v>
      </c>
      <c r="B37" s="1">
        <v>0.6837657819354882</v>
      </c>
      <c r="C37" s="2">
        <v>-1010943.87</v>
      </c>
      <c r="D37" s="3" t="s">
        <v>10</v>
      </c>
      <c r="E37" s="4" t="s">
        <v>11</v>
      </c>
    </row>
    <row r="38" spans="1:5" x14ac:dyDescent="0.3">
      <c r="A38" s="5">
        <v>612</v>
      </c>
      <c r="B38" s="1">
        <v>0.67538126362775019</v>
      </c>
      <c r="C38" s="2">
        <v>-170204.03</v>
      </c>
      <c r="D38" s="3" t="s">
        <v>10</v>
      </c>
      <c r="E38" s="4" t="s">
        <v>11</v>
      </c>
    </row>
    <row r="39" spans="1:5" x14ac:dyDescent="0.3">
      <c r="A39" s="5">
        <v>219</v>
      </c>
      <c r="B39" s="1">
        <v>0.67391865959212016</v>
      </c>
      <c r="C39" s="2">
        <v>297006.36</v>
      </c>
      <c r="D39" s="3" t="s">
        <v>10</v>
      </c>
      <c r="E39" s="4" t="s">
        <v>11</v>
      </c>
    </row>
    <row r="40" spans="1:5" x14ac:dyDescent="0.3">
      <c r="A40" s="5">
        <v>420</v>
      </c>
      <c r="B40" s="1">
        <v>0.67391865959212016</v>
      </c>
      <c r="C40" s="2">
        <v>819885.45</v>
      </c>
      <c r="D40" s="3" t="s">
        <v>10</v>
      </c>
      <c r="E40" s="4" t="s">
        <v>11</v>
      </c>
    </row>
    <row r="41" spans="1:5" x14ac:dyDescent="0.3">
      <c r="A41" s="5">
        <v>677</v>
      </c>
      <c r="B41" s="1">
        <v>0.66151495564817231</v>
      </c>
      <c r="C41" s="2">
        <v>-196624.25</v>
      </c>
      <c r="D41" s="3" t="s">
        <v>10</v>
      </c>
      <c r="E41" s="4" t="s">
        <v>11</v>
      </c>
    </row>
    <row r="42" spans="1:5" x14ac:dyDescent="0.3">
      <c r="A42" s="5">
        <v>649</v>
      </c>
      <c r="B42" s="1">
        <v>0.64509085339003724</v>
      </c>
      <c r="C42" s="2">
        <v>-240229.3</v>
      </c>
      <c r="D42" s="3" t="s">
        <v>10</v>
      </c>
      <c r="E42" s="4" t="s">
        <v>11</v>
      </c>
    </row>
    <row r="43" spans="1:5" x14ac:dyDescent="0.3">
      <c r="A43" s="5">
        <v>622</v>
      </c>
      <c r="B43" s="1">
        <v>0.6442633836439875</v>
      </c>
      <c r="C43" s="2">
        <v>-286133.28999999998</v>
      </c>
      <c r="D43" s="3" t="s">
        <v>10</v>
      </c>
      <c r="E43" s="4" t="s">
        <v>11</v>
      </c>
    </row>
    <row r="44" spans="1:5" x14ac:dyDescent="0.3">
      <c r="A44" s="5">
        <v>7</v>
      </c>
      <c r="B44" s="1">
        <v>0.64082421670500611</v>
      </c>
      <c r="C44" s="2">
        <v>-320884.17</v>
      </c>
      <c r="D44" s="3" t="s">
        <v>10</v>
      </c>
      <c r="E44" s="4" t="s">
        <v>11</v>
      </c>
    </row>
    <row r="45" spans="1:5" x14ac:dyDescent="0.3">
      <c r="A45" s="5">
        <v>187</v>
      </c>
      <c r="B45" s="1">
        <v>0.64082421670500611</v>
      </c>
      <c r="C45" s="2">
        <v>-298698.12</v>
      </c>
      <c r="D45" s="3" t="s">
        <v>10</v>
      </c>
      <c r="E45" s="4" t="s">
        <v>11</v>
      </c>
    </row>
    <row r="46" spans="1:5" x14ac:dyDescent="0.3">
      <c r="A46" s="5">
        <v>567</v>
      </c>
      <c r="B46" s="1">
        <v>0.63218006338645238</v>
      </c>
      <c r="C46" s="2">
        <v>-426948.97</v>
      </c>
      <c r="D46" s="3" t="s">
        <v>10</v>
      </c>
      <c r="E46" s="4" t="s">
        <v>11</v>
      </c>
    </row>
    <row r="47" spans="1:5" x14ac:dyDescent="0.3">
      <c r="A47" s="5">
        <v>17</v>
      </c>
      <c r="B47" s="1">
        <v>0.63032860966175419</v>
      </c>
      <c r="C47" s="2">
        <v>-266519.78000000003</v>
      </c>
      <c r="D47" s="3" t="s">
        <v>10</v>
      </c>
      <c r="E47" s="4" t="s">
        <v>11</v>
      </c>
    </row>
    <row r="48" spans="1:5" x14ac:dyDescent="0.3">
      <c r="A48" s="5">
        <v>110</v>
      </c>
      <c r="B48" s="1">
        <v>0.62136662110058305</v>
      </c>
      <c r="C48" s="2">
        <v>-325684.68</v>
      </c>
      <c r="D48" s="3" t="s">
        <v>10</v>
      </c>
      <c r="E48" s="4" t="s">
        <v>11</v>
      </c>
    </row>
    <row r="49" spans="1:5" x14ac:dyDescent="0.3">
      <c r="A49" s="5">
        <v>182</v>
      </c>
      <c r="B49" s="1">
        <v>0.61920660163340613</v>
      </c>
      <c r="C49" s="2">
        <v>-267150.96999999997</v>
      </c>
      <c r="D49" s="3" t="s">
        <v>10</v>
      </c>
      <c r="E49" s="4" t="s">
        <v>11</v>
      </c>
    </row>
    <row r="50" spans="1:5" x14ac:dyDescent="0.3">
      <c r="A50" s="5">
        <v>249</v>
      </c>
      <c r="B50" s="1">
        <v>0.61429518321197396</v>
      </c>
      <c r="C50" s="2">
        <v>-341592.05</v>
      </c>
      <c r="D50" s="3" t="s">
        <v>10</v>
      </c>
      <c r="E50" s="4" t="s">
        <v>11</v>
      </c>
    </row>
    <row r="51" spans="1:5" x14ac:dyDescent="0.3">
      <c r="A51" s="5">
        <v>251</v>
      </c>
      <c r="B51" s="1">
        <v>0.61147432628239851</v>
      </c>
      <c r="C51" s="2">
        <v>-460332.84</v>
      </c>
      <c r="D51" s="3" t="s">
        <v>10</v>
      </c>
      <c r="E51" s="4" t="s">
        <v>11</v>
      </c>
    </row>
    <row r="52" spans="1:5" x14ac:dyDescent="0.3">
      <c r="A52" s="5">
        <v>485</v>
      </c>
      <c r="B52" s="1">
        <v>0.61107189174527765</v>
      </c>
      <c r="C52" s="2">
        <v>-398283.92</v>
      </c>
      <c r="D52" s="3" t="s">
        <v>10</v>
      </c>
      <c r="E52" s="4" t="s">
        <v>11</v>
      </c>
    </row>
    <row r="53" spans="1:5" x14ac:dyDescent="0.3">
      <c r="A53" s="5">
        <v>534</v>
      </c>
      <c r="B53" s="1">
        <v>0.61066959332598203</v>
      </c>
      <c r="C53" s="2">
        <v>-286704.55</v>
      </c>
      <c r="D53" s="3" t="s">
        <v>10</v>
      </c>
      <c r="E53" s="4" t="s">
        <v>11</v>
      </c>
    </row>
    <row r="54" spans="1:5" x14ac:dyDescent="0.3">
      <c r="A54" s="5">
        <v>262</v>
      </c>
      <c r="B54" s="1">
        <v>0.60610044607658931</v>
      </c>
      <c r="C54" s="2">
        <v>140633.66</v>
      </c>
      <c r="D54" s="3" t="s">
        <v>10</v>
      </c>
      <c r="E54" s="4" t="s">
        <v>11</v>
      </c>
    </row>
    <row r="55" spans="1:5" x14ac:dyDescent="0.3">
      <c r="A55" s="5">
        <v>607</v>
      </c>
      <c r="B55" s="1">
        <v>0.59551579557221679</v>
      </c>
      <c r="C55" s="2">
        <v>-205667.18</v>
      </c>
      <c r="D55" s="3" t="s">
        <v>10</v>
      </c>
      <c r="E55" s="4" t="s">
        <v>11</v>
      </c>
    </row>
    <row r="56" spans="1:5" x14ac:dyDescent="0.3">
      <c r="A56" s="5">
        <v>242</v>
      </c>
      <c r="B56" s="1">
        <v>0.58620349249701265</v>
      </c>
      <c r="C56" s="2">
        <v>199864.92</v>
      </c>
      <c r="D56" s="3" t="s">
        <v>10</v>
      </c>
      <c r="E56" s="4" t="s">
        <v>11</v>
      </c>
    </row>
    <row r="57" spans="1:5" x14ac:dyDescent="0.3">
      <c r="A57" s="5">
        <v>309</v>
      </c>
      <c r="B57" s="1">
        <v>0.57855494252130313</v>
      </c>
      <c r="C57" s="2">
        <v>122625.4</v>
      </c>
      <c r="D57" s="3" t="s">
        <v>10</v>
      </c>
      <c r="E57" s="4" t="s">
        <v>11</v>
      </c>
    </row>
    <row r="58" spans="1:5" x14ac:dyDescent="0.3">
      <c r="A58" s="5">
        <v>145</v>
      </c>
      <c r="B58" s="1">
        <v>0.57486984276826225</v>
      </c>
      <c r="C58" s="2">
        <v>-162409.1</v>
      </c>
      <c r="D58" s="3" t="s">
        <v>10</v>
      </c>
      <c r="E58" s="4" t="s">
        <v>11</v>
      </c>
    </row>
    <row r="59" spans="1:5" x14ac:dyDescent="0.3">
      <c r="A59" s="5">
        <v>435</v>
      </c>
      <c r="B59" s="1">
        <v>0.56301873328727936</v>
      </c>
      <c r="C59" s="2">
        <v>-1510238.81</v>
      </c>
      <c r="D59" s="3" t="s">
        <v>10</v>
      </c>
      <c r="E59" s="4" t="s">
        <v>11</v>
      </c>
    </row>
  </sheetData>
  <mergeCells count="1">
    <mergeCell ref="A1:E1"/>
  </mergeCells>
  <conditionalFormatting sqref="A3:E59">
    <cfRule type="expression" dxfId="5" priority="1">
      <formula>$D3="Zu beobachten"</formula>
    </cfRule>
    <cfRule type="expression" dxfId="4" priority="2">
      <formula>$D3="Kritisch"</formula>
    </cfRule>
    <cfRule type="expression" dxfId="3" priority="3">
      <formula>$D3="Sehr kritisch"</formula>
    </cfRule>
  </conditionalFormatting>
  <conditionalFormatting sqref="D3:D59">
    <cfRule type="expression" dxfId="2" priority="4">
      <formula>$D3="Zu beobachten"</formula>
    </cfRule>
    <cfRule type="expression" dxfId="1" priority="5">
      <formula>$D3="Kritisch"</formula>
    </cfRule>
    <cfRule type="expression" dxfId="0" priority="6">
      <formula>$D3="Sehr kritisch"</formula>
    </cfRule>
  </conditionalFormatting>
  <pageMargins left="0.7" right="0.7" top="0.78740157499999996" bottom="0.78740157499999996" header="0.3" footer="0.3"/>
  <headerFooter>
    <oddFooter>&amp;C_x000D_&amp;1#&amp;"Aptos"&amp;8&amp;K000000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2833-3DC3-4157-B791-A1A480A5E387}">
  <dimension ref="A1:B15"/>
  <sheetViews>
    <sheetView tabSelected="1" workbookViewId="0">
      <selection activeCell="B44" sqref="B44"/>
    </sheetView>
  </sheetViews>
  <sheetFormatPr baseColWidth="10" defaultRowHeight="14.4" x14ac:dyDescent="0.3"/>
  <cols>
    <col min="1" max="1" width="23.6640625" customWidth="1"/>
    <col min="2" max="2" width="81.88671875" customWidth="1"/>
  </cols>
  <sheetData>
    <row r="1" spans="1:2" x14ac:dyDescent="0.3">
      <c r="A1" s="8" t="s">
        <v>13</v>
      </c>
      <c r="B1" s="8" t="s">
        <v>27</v>
      </c>
    </row>
    <row r="2" spans="1:2" x14ac:dyDescent="0.3">
      <c r="A2" s="8" t="s">
        <v>14</v>
      </c>
      <c r="B2" s="9" t="s">
        <v>28</v>
      </c>
    </row>
    <row r="3" spans="1:2" x14ac:dyDescent="0.3">
      <c r="A3" s="8" t="s">
        <v>15</v>
      </c>
      <c r="B3" s="9"/>
    </row>
    <row r="4" spans="1:2" x14ac:dyDescent="0.3">
      <c r="A4" s="8" t="s">
        <v>29</v>
      </c>
      <c r="B4" s="9"/>
    </row>
    <row r="5" spans="1:2" x14ac:dyDescent="0.3">
      <c r="A5" s="8" t="s">
        <v>16</v>
      </c>
      <c r="B5" s="9" t="s">
        <v>30</v>
      </c>
    </row>
    <row r="6" spans="1:2" x14ac:dyDescent="0.3">
      <c r="A6" s="8" t="s">
        <v>17</v>
      </c>
      <c r="B6" s="9" t="s">
        <v>31</v>
      </c>
    </row>
    <row r="7" spans="1:2" x14ac:dyDescent="0.3">
      <c r="A7" s="8" t="s">
        <v>18</v>
      </c>
      <c r="B7" s="9" t="s">
        <v>32</v>
      </c>
    </row>
    <row r="8" spans="1:2" x14ac:dyDescent="0.3">
      <c r="A8" s="8" t="s">
        <v>19</v>
      </c>
      <c r="B8" s="9" t="s">
        <v>33</v>
      </c>
    </row>
    <row r="9" spans="1:2" x14ac:dyDescent="0.3">
      <c r="A9" s="8" t="s">
        <v>20</v>
      </c>
      <c r="B9" s="9" t="s">
        <v>34</v>
      </c>
    </row>
    <row r="10" spans="1:2" x14ac:dyDescent="0.3">
      <c r="A10" s="8" t="s">
        <v>21</v>
      </c>
      <c r="B10" s="9"/>
    </row>
    <row r="11" spans="1:2" x14ac:dyDescent="0.3">
      <c r="A11" s="8" t="s">
        <v>22</v>
      </c>
      <c r="B11" s="9" t="s">
        <v>35</v>
      </c>
    </row>
    <row r="12" spans="1:2" x14ac:dyDescent="0.3">
      <c r="A12" s="8" t="s">
        <v>23</v>
      </c>
      <c r="B12" s="9" t="s">
        <v>36</v>
      </c>
    </row>
    <row r="13" spans="1:2" x14ac:dyDescent="0.3">
      <c r="A13" s="8" t="s">
        <v>24</v>
      </c>
      <c r="B13" s="9" t="s">
        <v>37</v>
      </c>
    </row>
    <row r="14" spans="1:2" x14ac:dyDescent="0.3">
      <c r="A14" s="8" t="s">
        <v>25</v>
      </c>
      <c r="B14" s="9" t="s">
        <v>39</v>
      </c>
    </row>
    <row r="15" spans="1:2" x14ac:dyDescent="0.3">
      <c r="A15" s="8" t="s">
        <v>26</v>
      </c>
      <c r="B15" s="9" t="s">
        <v>38</v>
      </c>
    </row>
  </sheetData>
  <phoneticPr fontId="3" type="noConversion"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41569415-e423-4898-b1ac-2b6826647c84}" enabled="1" method="Standard" siteId="{39b77101-99b7-41c9-8d6a-7794b9d4847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Dashboard</vt:lpstr>
      <vt:lpstr>Vergleichstabelle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Graebe, Paul</dc:creator>
  <cp:lastModifiedBy>Graebe, Paul</cp:lastModifiedBy>
  <dcterms:created xsi:type="dcterms:W3CDTF">2026-07-05T09:16:38Z</dcterms:created>
  <dcterms:modified xsi:type="dcterms:W3CDTF">2026-07-06T09:41:41Z</dcterms:modified>
</cp:coreProperties>
</file>